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<sst xmlns="http://schemas.openxmlformats.org/spreadsheetml/2006/main" count="109" uniqueCount="82">
  <si>
    <t>Audio File</t>
  </si>
  <si>
    <t>Transcript</t>
  </si>
  <si>
    <t>Male / Female</t>
  </si>
  <si>
    <t xml:space="preserve">Age Group </t>
  </si>
  <si>
    <t>Locality</t>
  </si>
  <si>
    <t>Language</t>
  </si>
  <si>
    <t>Noise Type</t>
  </si>
  <si>
    <t>Banashankari_Female_43_TailoringMachine_Kannada.ogg</t>
  </si>
  <si>
    <t>Haan sir. Naanu banashankari 2nd stage alli iddini.</t>
  </si>
  <si>
    <t>Female</t>
  </si>
  <si>
    <t>Banashankari</t>
  </si>
  <si>
    <t>TailoringMachine</t>
  </si>
  <si>
    <t>BTMLayout_Male_25_Music_Hindi.ogg</t>
  </si>
  <si>
    <t>Haan bhaiya, main BTM Layout 2nd Stage mein rehta hoon.</t>
  </si>
  <si>
    <t>Male</t>
  </si>
  <si>
    <t>BTM Layout</t>
  </si>
  <si>
    <t>Music</t>
  </si>
  <si>
    <t>Chikkabanavare_Male_26_Air_Kannada.ogg</t>
  </si>
  <si>
    <t>Ok sir. Chikkabanavara bus stop alli thaane.</t>
  </si>
  <si>
    <t>Chikkabanavara</t>
  </si>
  <si>
    <t>Air</t>
  </si>
  <si>
    <t>Indiranagar_Male_23_Videonoise_Kannada.ogg</t>
  </si>
  <si>
    <t>Sir, Na Indiranagar alli iddini.</t>
  </si>
  <si>
    <t>Indiranagar</t>
  </si>
  <si>
    <t>Videonoise</t>
  </si>
  <si>
    <t>Kadugondanahalli_Male_32_NoNoise_Hinglish.ogg</t>
  </si>
  <si>
    <t>Haan bhai. I am Kadugondanahalli side stay karta hoon.</t>
  </si>
  <si>
    <t>Kadugondanahalli</t>
  </si>
  <si>
    <t>NoNoise</t>
  </si>
  <si>
    <t>Kengeri_Female_26_Travel_Hindi.ogg</t>
  </si>
  <si>
    <t>Haan, Kengeri side mein stay karta hoon.</t>
  </si>
  <si>
    <t>Kengeri</t>
  </si>
  <si>
    <t>Travel</t>
  </si>
  <si>
    <t>Koramangala_Female_46_TV_Kannada.ogg</t>
  </si>
  <si>
    <t>Haan sir, naanu Koramangala side iddini</t>
  </si>
  <si>
    <t>Koramangala</t>
  </si>
  <si>
    <t>Tv</t>
  </si>
  <si>
    <t>KothanurDinne_Male_25_Gaming_Kannada.ogg</t>
  </si>
  <si>
    <t>Sir, Naanu Kothanur Dinne road alli stay maadthidini.</t>
  </si>
  <si>
    <t>Kothanur Dinne</t>
  </si>
  <si>
    <t>Kannada</t>
  </si>
  <si>
    <t>Gaming</t>
  </si>
  <si>
    <t>KR_PURAM_Male_23_People_Kannada.ogg</t>
  </si>
  <si>
    <t>utta aitha. Hi bro, KR Puram Bridge hatra irthini</t>
  </si>
  <si>
    <t>KR Puram</t>
  </si>
  <si>
    <t>People</t>
  </si>
  <si>
    <t>Magestic_Female_25_People_Hindi.ogg</t>
  </si>
  <si>
    <t>Mein Magestic bustand ke pass rahti hoon.</t>
  </si>
  <si>
    <t>Magestic</t>
  </si>
  <si>
    <t>Marathahalli_Female_35_Travel_Kannada.ogg</t>
  </si>
  <si>
    <t>Marathahalli bridge cross madi banni.</t>
  </si>
  <si>
    <t>Marathahalli</t>
  </si>
  <si>
    <t>RRNagar_Female_25_Street_Hindi.ogg</t>
  </si>
  <si>
    <t>Haan, Mei RR Nagar BEML Layout ke pass rahti hoon.</t>
  </si>
  <si>
    <t>RR Nagar</t>
  </si>
  <si>
    <t>Street</t>
  </si>
  <si>
    <t>RRNagarBEML_Male_22_Travel_Kannada.ogg</t>
  </si>
  <si>
    <t>Ok sir. Naanu RR Nagar BEML Layout alli the iddini.</t>
  </si>
  <si>
    <t>Sarjapur_Female_29_TailoringMachine_Kannada.ogg</t>
  </si>
  <si>
    <t>Haan sir, Naanu Sarjapur Road side alli iddini</t>
  </si>
  <si>
    <t>Sarjapur</t>
  </si>
  <si>
    <t>SilkBoard_Male_21_Muffered_Kannada.ogg</t>
  </si>
  <si>
    <t>Naanu Silk Board signal hatra stay maadthidini</t>
  </si>
  <si>
    <t>Silk Board</t>
  </si>
  <si>
    <t>Muffered</t>
  </si>
  <si>
    <t>Thalaghattapura_Female_39_Fan_Kannada.ogg</t>
  </si>
  <si>
    <t>Ok sir. Thalaghattapura metro li iddini.</t>
  </si>
  <si>
    <t>Thalaghattapura</t>
  </si>
  <si>
    <t xml:space="preserve">Fan </t>
  </si>
  <si>
    <t>Thanisandra_Male_29_Tv_Hinglish.ogg</t>
  </si>
  <si>
    <t>Hi sir, Mein thanisandra Main Road par rahta hoon.</t>
  </si>
  <si>
    <t>Thanisandra</t>
  </si>
  <si>
    <t>WhiteField_Male_25_Muffered_Kannada.ogg</t>
  </si>
  <si>
    <t>WhiteField Forum mall hatra iddini.</t>
  </si>
  <si>
    <t>WhiteField</t>
  </si>
  <si>
    <t>WhiteField_Male_35_Construction_Hindi.ogg</t>
  </si>
  <si>
    <t>Mein, WhiteField ITPL ke pass Me rahta hoon.</t>
  </si>
  <si>
    <t>Construction</t>
  </si>
  <si>
    <t>Yeshwanthpur_Male_22_Dog_Hindi.ogg</t>
  </si>
  <si>
    <t>Haan bhai. Mein Yeshwanthpur Metro Station ke pass stay karta hoon.</t>
  </si>
  <si>
    <t>Yeshwanthpur</t>
  </si>
  <si>
    <t>Dog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</si>
</sst>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Gb5fSFCKkN_DoaKEJFkzeHOXNKzybAcH&amp;usp=drive_copy" TargetMode="External"/><Relationship Id="rId11" Type="http://schemas.openxmlformats.org/officeDocument/2006/relationships/hyperlink" Target="https://drive.google.com/open?id=13Rt0yJrWMkxm2QTHW2oAGl0IM_aEria0&amp;usp=drive_copy" TargetMode="External"/><Relationship Id="rId10" Type="http://schemas.openxmlformats.org/officeDocument/2006/relationships/hyperlink" Target="https://drive.google.com/open?id=13pFo5bQ4gACTicI7ewUCvVWRUdLVl6D2&amp;usp=drive_copy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open?id=1q1YuoO3dioceVV3NxSSdyYYaeDqxLinq&amp;usp=drive_copy" TargetMode="External"/><Relationship Id="rId12" Type="http://schemas.openxmlformats.org/officeDocument/2006/relationships/hyperlink" Target="https://drive.google.com/open?id=14zz-VuNysZ7wxPjC_PJ0aNZxUR3iEVNT&amp;usp=drive_copy" TargetMode="External"/><Relationship Id="rId1" Type="http://schemas.openxmlformats.org/officeDocument/2006/relationships/hyperlink" Target="https://drive.google.com/open?id=1EJytkIJcPAZ3FPmwjaEBrXG7vpmdgy92&amp;usp=drive_copy" TargetMode="External"/><Relationship Id="rId2" Type="http://schemas.openxmlformats.org/officeDocument/2006/relationships/hyperlink" Target="https://drive.google.com/open?id=1v3VSTqGJ0mHwbNfMlJUVs3I-Ta6sGVW8&amp;usp=drive_copy" TargetMode="External"/><Relationship Id="rId3" Type="http://schemas.openxmlformats.org/officeDocument/2006/relationships/hyperlink" Target="https://drive.google.com/open?id=1tAK9nkw3OOQ8L_FK6rOuIcFldZsbOVet&amp;usp=drive_copy" TargetMode="External"/><Relationship Id="rId4" Type="http://schemas.openxmlformats.org/officeDocument/2006/relationships/hyperlink" Target="https://drive.google.com/open?id=1WuW4EQXR27UgYrm4ZESftbLJVPTH2gGz&amp;usp=drive_copy" TargetMode="External"/><Relationship Id="rId9" Type="http://schemas.openxmlformats.org/officeDocument/2006/relationships/hyperlink" Target="https://drive.google.com/open?id=1rnxj99QDulYdznmoxlEOBNOHl_dUbzv6&amp;usp=drive_copy" TargetMode="External"/><Relationship Id="rId15" Type="http://schemas.openxmlformats.org/officeDocument/2006/relationships/hyperlink" Target="https://drive.google.com/open?id=1gU8-SRN8eCpGRYctpGXWDG2OZGKuFv-h&amp;usp=drive_copy" TargetMode="External"/><Relationship Id="rId14" Type="http://schemas.openxmlformats.org/officeDocument/2006/relationships/hyperlink" Target="https://drive.google.com/open?id=1l2ZoeD1Iyc8l59rDMv4ZL70QIl_gG5OU&amp;usp=drive_copy" TargetMode="External"/><Relationship Id="rId17" Type="http://schemas.openxmlformats.org/officeDocument/2006/relationships/hyperlink" Target="https://drive.google.com/open?id=1qa3E281EVO6r8ANG7hweqmvqOW0waZki&amp;usp=drive_copy" TargetMode="External"/><Relationship Id="rId16" Type="http://schemas.openxmlformats.org/officeDocument/2006/relationships/hyperlink" Target="https://drive.google.com/open?id=1kXu1OLcp-3PoO6PwdgbxSQOIpfE5WsFn&amp;usp=drive_copy" TargetMode="External"/><Relationship Id="rId5" Type="http://schemas.openxmlformats.org/officeDocument/2006/relationships/hyperlink" Target="https://drive.google.com/open?id=17XRKoDySv_vvzMd3_eBF09_H7qjh1dD9&amp;usp=drive_copy" TargetMode="External"/><Relationship Id="rId19" Type="http://schemas.openxmlformats.org/officeDocument/2006/relationships/hyperlink" Target="https://drive.google.com/open?id=1mRpdq8g-m_88Oriu12eno4SuAcdzB92J&amp;usp=drive_copy" TargetMode="External"/><Relationship Id="rId6" Type="http://schemas.openxmlformats.org/officeDocument/2006/relationships/hyperlink" Target="https://drive.google.com/open?id=1B4D20H1Ls_UjtW_bCW_BYLRqG6Yw39Hc&amp;usp=drive_copy" TargetMode="External"/><Relationship Id="rId18" Type="http://schemas.openxmlformats.org/officeDocument/2006/relationships/hyperlink" Target="https://drive.google.com/open?id=13bOhY8wYJ3Ls8StGuDs85qBeZwLkydAV&amp;usp=drive_copy" TargetMode="External"/><Relationship Id="rId7" Type="http://schemas.openxmlformats.org/officeDocument/2006/relationships/hyperlink" Target="https://drive.google.com/open?id=1QpW85senvOF6MJp5aUhfKquWk9gYdJ9b&amp;usp=drive_copy" TargetMode="External"/><Relationship Id="rId8" Type="http://schemas.openxmlformats.org/officeDocument/2006/relationships/hyperlink" Target="https://drive.google.com/open?id=11TlvNtvxQXyZDO-VA8nUIpPRNZOj88g-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>
        <v>43.0</v>
      </c>
      <c r="E2" s="3" t="s">
        <v>10</v>
      </c>
      <c r="F2" s="3" t="str">
        <f t="shared" ref="F2:F8" si="1">MID(A2,FIND(CHAR(160),SUBSTITUTE(A2,"_",CHAR(160),4)) + 1,FIND(".",A2) - 1 - (FIND(CHAR(160),SUBSTITUTE(A2,"_",CHAR(160),4))))</f>
        <v>Kannada</v>
      </c>
      <c r="G2" s="3" t="s">
        <v>11</v>
      </c>
    </row>
    <row r="3">
      <c r="A3" s="2" t="s">
        <v>12</v>
      </c>
      <c r="B3" s="3" t="s">
        <v>13</v>
      </c>
      <c r="C3" s="3" t="s">
        <v>14</v>
      </c>
      <c r="D3" s="3">
        <v>25.0</v>
      </c>
      <c r="E3" s="3" t="s">
        <v>15</v>
      </c>
      <c r="F3" s="3" t="str">
        <f t="shared" si="1"/>
        <v>Hindi</v>
      </c>
      <c r="G3" s="3" t="s">
        <v>16</v>
      </c>
    </row>
    <row r="4">
      <c r="A4" s="2" t="s">
        <v>17</v>
      </c>
      <c r="B4" s="3" t="s">
        <v>18</v>
      </c>
      <c r="C4" s="3" t="s">
        <v>14</v>
      </c>
      <c r="D4" s="3">
        <v>26.0</v>
      </c>
      <c r="E4" s="3" t="s">
        <v>19</v>
      </c>
      <c r="F4" s="3" t="str">
        <f t="shared" si="1"/>
        <v>Kannada</v>
      </c>
      <c r="G4" s="3" t="s">
        <v>20</v>
      </c>
    </row>
    <row r="5">
      <c r="A5" s="2" t="s">
        <v>21</v>
      </c>
      <c r="B5" s="3" t="s">
        <v>22</v>
      </c>
      <c r="C5" s="3" t="s">
        <v>14</v>
      </c>
      <c r="D5" s="3">
        <v>23.0</v>
      </c>
      <c r="E5" s="3" t="s">
        <v>23</v>
      </c>
      <c r="F5" s="3" t="str">
        <f t="shared" si="1"/>
        <v>Kannada</v>
      </c>
      <c r="G5" s="3" t="s">
        <v>24</v>
      </c>
    </row>
    <row r="6">
      <c r="A6" s="2" t="s">
        <v>25</v>
      </c>
      <c r="B6" s="3" t="s">
        <v>26</v>
      </c>
      <c r="C6" s="3" t="s">
        <v>14</v>
      </c>
      <c r="D6" s="3">
        <v>32.0</v>
      </c>
      <c r="E6" s="3" t="s">
        <v>27</v>
      </c>
      <c r="F6" s="4" t="str">
        <f t="shared" si="1"/>
        <v>Hinglish</v>
      </c>
      <c r="G6" s="3" t="s">
        <v>28</v>
      </c>
    </row>
    <row r="7">
      <c r="A7" s="2" t="s">
        <v>29</v>
      </c>
      <c r="B7" s="3" t="s">
        <v>30</v>
      </c>
      <c r="C7" s="3" t="s">
        <v>9</v>
      </c>
      <c r="D7" s="3">
        <v>26.0</v>
      </c>
      <c r="E7" s="3" t="s">
        <v>31</v>
      </c>
      <c r="F7" s="4" t="str">
        <f t="shared" si="1"/>
        <v>Hindi</v>
      </c>
      <c r="G7" s="3" t="s">
        <v>32</v>
      </c>
    </row>
    <row r="8">
      <c r="A8" s="2" t="s">
        <v>33</v>
      </c>
      <c r="B8" s="3" t="s">
        <v>34</v>
      </c>
      <c r="C8" s="3" t="s">
        <v>9</v>
      </c>
      <c r="D8" s="3">
        <v>46.0</v>
      </c>
      <c r="E8" s="3" t="s">
        <v>35</v>
      </c>
      <c r="F8" s="4" t="str">
        <f t="shared" si="1"/>
        <v>Kannada</v>
      </c>
      <c r="G8" s="3" t="s">
        <v>36</v>
      </c>
    </row>
    <row r="9">
      <c r="A9" s="2" t="s">
        <v>37</v>
      </c>
      <c r="B9" s="3" t="s">
        <v>38</v>
      </c>
      <c r="C9" s="3" t="s">
        <v>14</v>
      </c>
      <c r="D9" s="3">
        <v>25.0</v>
      </c>
      <c r="E9" s="3" t="s">
        <v>39</v>
      </c>
      <c r="F9" s="3" t="s">
        <v>40</v>
      </c>
      <c r="G9" s="3" t="s">
        <v>41</v>
      </c>
    </row>
    <row r="10">
      <c r="A10" s="2" t="s">
        <v>42</v>
      </c>
      <c r="B10" s="3" t="s">
        <v>43</v>
      </c>
      <c r="C10" s="3" t="s">
        <v>14</v>
      </c>
      <c r="D10" s="3">
        <v>23.0</v>
      </c>
      <c r="E10" s="3" t="s">
        <v>44</v>
      </c>
      <c r="F10" s="3" t="s">
        <v>40</v>
      </c>
      <c r="G10" s="3" t="s">
        <v>45</v>
      </c>
    </row>
    <row r="11">
      <c r="A11" s="2" t="s">
        <v>46</v>
      </c>
      <c r="B11" s="3" t="s">
        <v>47</v>
      </c>
      <c r="C11" s="3" t="s">
        <v>9</v>
      </c>
      <c r="D11" s="3">
        <v>25.0</v>
      </c>
      <c r="E11" s="3" t="s">
        <v>48</v>
      </c>
      <c r="F11" s="4" t="str">
        <f t="shared" ref="F11:F21" si="2">MID(A11,FIND(CHAR(160),SUBSTITUTE(A11,"_",CHAR(160),4)) + 1,FIND(".",A11) - 1 - (FIND(CHAR(160),SUBSTITUTE(A11,"_",CHAR(160),4))))</f>
        <v>Hindi</v>
      </c>
      <c r="G11" s="3" t="s">
        <v>45</v>
      </c>
    </row>
    <row r="12">
      <c r="A12" s="2" t="s">
        <v>49</v>
      </c>
      <c r="B12" s="3" t="s">
        <v>50</v>
      </c>
      <c r="C12" s="3" t="s">
        <v>9</v>
      </c>
      <c r="D12" s="3">
        <v>35.0</v>
      </c>
      <c r="E12" s="3" t="s">
        <v>51</v>
      </c>
      <c r="F12" s="4" t="str">
        <f t="shared" si="2"/>
        <v>Kannada</v>
      </c>
      <c r="G12" s="3" t="s">
        <v>32</v>
      </c>
    </row>
    <row r="13">
      <c r="A13" s="2" t="s">
        <v>52</v>
      </c>
      <c r="B13" s="3" t="s">
        <v>53</v>
      </c>
      <c r="C13" s="3" t="s">
        <v>9</v>
      </c>
      <c r="D13" s="3">
        <v>25.0</v>
      </c>
      <c r="E13" s="3" t="s">
        <v>54</v>
      </c>
      <c r="F13" s="4" t="str">
        <f t="shared" si="2"/>
        <v>Hindi</v>
      </c>
      <c r="G13" s="3" t="s">
        <v>55</v>
      </c>
    </row>
    <row r="14">
      <c r="A14" s="2" t="s">
        <v>56</v>
      </c>
      <c r="B14" s="3" t="s">
        <v>57</v>
      </c>
      <c r="C14" s="3" t="s">
        <v>14</v>
      </c>
      <c r="D14" s="3">
        <v>22.0</v>
      </c>
      <c r="E14" s="3" t="s">
        <v>54</v>
      </c>
      <c r="F14" s="4" t="str">
        <f t="shared" si="2"/>
        <v>Kannada</v>
      </c>
      <c r="G14" s="3" t="s">
        <v>32</v>
      </c>
    </row>
    <row r="15">
      <c r="A15" s="2" t="s">
        <v>58</v>
      </c>
      <c r="B15" s="3" t="s">
        <v>59</v>
      </c>
      <c r="C15" s="3" t="s">
        <v>9</v>
      </c>
      <c r="D15" s="3">
        <v>29.0</v>
      </c>
      <c r="E15" s="3" t="s">
        <v>60</v>
      </c>
      <c r="F15" s="4" t="str">
        <f t="shared" si="2"/>
        <v>Kannada</v>
      </c>
      <c r="G15" s="3" t="s">
        <v>11</v>
      </c>
    </row>
    <row r="16">
      <c r="A16" s="2" t="s">
        <v>61</v>
      </c>
      <c r="B16" s="3" t="s">
        <v>62</v>
      </c>
      <c r="C16" s="3" t="s">
        <v>14</v>
      </c>
      <c r="D16" s="3">
        <v>21.0</v>
      </c>
      <c r="E16" s="3" t="s">
        <v>63</v>
      </c>
      <c r="F16" s="4" t="str">
        <f t="shared" si="2"/>
        <v>Kannada</v>
      </c>
      <c r="G16" s="3" t="s">
        <v>64</v>
      </c>
    </row>
    <row r="17">
      <c r="A17" s="2" t="s">
        <v>65</v>
      </c>
      <c r="B17" s="3" t="s">
        <v>66</v>
      </c>
      <c r="C17" s="3" t="s">
        <v>9</v>
      </c>
      <c r="D17" s="3">
        <v>39.0</v>
      </c>
      <c r="E17" s="3" t="s">
        <v>67</v>
      </c>
      <c r="F17" s="4" t="str">
        <f t="shared" si="2"/>
        <v>Kannada</v>
      </c>
      <c r="G17" s="3" t="s">
        <v>68</v>
      </c>
    </row>
    <row r="18">
      <c r="A18" s="2" t="s">
        <v>69</v>
      </c>
      <c r="B18" s="3" t="s">
        <v>70</v>
      </c>
      <c r="C18" s="3" t="s">
        <v>14</v>
      </c>
      <c r="D18" s="3">
        <v>29.0</v>
      </c>
      <c r="E18" s="3" t="s">
        <v>71</v>
      </c>
      <c r="F18" s="4" t="str">
        <f t="shared" si="2"/>
        <v>Hinglish</v>
      </c>
      <c r="G18" s="3" t="s">
        <v>36</v>
      </c>
    </row>
    <row r="19">
      <c r="A19" s="2" t="s">
        <v>72</v>
      </c>
      <c r="B19" s="3" t="s">
        <v>73</v>
      </c>
      <c r="C19" s="3" t="s">
        <v>14</v>
      </c>
      <c r="D19" s="3">
        <v>25.0</v>
      </c>
      <c r="E19" s="3" t="s">
        <v>74</v>
      </c>
      <c r="F19" s="4" t="str">
        <f t="shared" si="2"/>
        <v>Kannada</v>
      </c>
      <c r="G19" s="3" t="s">
        <v>64</v>
      </c>
    </row>
    <row r="20">
      <c r="A20" s="2" t="s">
        <v>75</v>
      </c>
      <c r="B20" s="3" t="s">
        <v>76</v>
      </c>
      <c r="C20" s="3" t="s">
        <v>14</v>
      </c>
      <c r="D20" s="3">
        <v>35.0</v>
      </c>
      <c r="E20" s="3" t="s">
        <v>74</v>
      </c>
      <c r="F20" s="4" t="str">
        <f t="shared" si="2"/>
        <v>Hindi</v>
      </c>
      <c r="G20" s="3" t="s">
        <v>77</v>
      </c>
    </row>
    <row r="21">
      <c r="A21" s="2" t="s">
        <v>78</v>
      </c>
      <c r="B21" s="3" t="s">
        <v>79</v>
      </c>
      <c r="C21" s="3" t="s">
        <v>14</v>
      </c>
      <c r="D21" s="3">
        <v>22.0</v>
      </c>
      <c r="E21" s="3" t="s">
        <v>80</v>
      </c>
      <c r="F21" s="4" t="str">
        <f t="shared" si="2"/>
        <v>Hindi</v>
      </c>
      <c r="G21" s="3" t="s">
        <v>81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